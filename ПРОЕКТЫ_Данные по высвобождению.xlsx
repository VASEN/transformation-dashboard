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leriy/Downloads/"/>
    </mc:Choice>
  </mc:AlternateContent>
  <xr:revisionPtr revIDLastSave="0" documentId="8_{6650D980-95BA-C644-AE77-E054D6F96ED9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Sheet1" sheetId="1" r:id="rId1"/>
  </sheets>
  <definedNames>
    <definedName name="_xlnm._FilterDatabase" localSheetId="0" hidden="1">Sheet1!$A$1:$K$29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14" i="1"/>
  <c r="F26" i="1"/>
  <c r="D19" i="1" l="1"/>
  <c r="D20" i="1"/>
  <c r="D25" i="1" l="1"/>
  <c r="D24" i="1"/>
  <c r="D16" i="1"/>
  <c r="D17" i="1"/>
  <c r="D18" i="1"/>
  <c r="G26" i="1" l="1"/>
  <c r="B26" i="1"/>
  <c r="G14" i="1"/>
  <c r="B14" i="1"/>
  <c r="D9" i="1"/>
  <c r="D10" i="1"/>
  <c r="G2" i="1"/>
  <c r="B2" i="1"/>
  <c r="C11" i="1"/>
  <c r="E11" i="1" s="1"/>
  <c r="E10" i="1"/>
  <c r="E9" i="1"/>
  <c r="C8" i="1"/>
  <c r="E8" i="1" s="1"/>
  <c r="C13" i="1"/>
  <c r="E13" i="1" s="1"/>
  <c r="C4" i="1"/>
  <c r="E4" i="1" s="1"/>
  <c r="E24" i="1"/>
  <c r="C6" i="1"/>
  <c r="E6" i="1" s="1"/>
  <c r="C3" i="1"/>
  <c r="E3" i="1" s="1"/>
  <c r="E16" i="1"/>
  <c r="C12" i="1"/>
  <c r="E12" i="1" s="1"/>
  <c r="C27" i="1"/>
  <c r="E27" i="1" s="1"/>
  <c r="C7" i="1"/>
  <c r="E7" i="1" s="1"/>
  <c r="E5" i="1"/>
  <c r="E17" i="1"/>
  <c r="E18" i="1"/>
  <c r="C15" i="1"/>
  <c r="D15" i="1" s="1"/>
  <c r="C28" i="1"/>
  <c r="E28" i="1" s="1"/>
  <c r="E19" i="1"/>
  <c r="E20" i="1"/>
  <c r="C21" i="1"/>
  <c r="D21" i="1" s="1"/>
  <c r="C22" i="1"/>
  <c r="C29" i="1"/>
  <c r="E29" i="1" s="1"/>
  <c r="C23" i="1"/>
  <c r="D23" i="1" s="1"/>
  <c r="E22" i="1" l="1"/>
  <c r="D22" i="1"/>
  <c r="E15" i="1"/>
  <c r="E21" i="1"/>
  <c r="D12" i="1"/>
  <c r="D27" i="1"/>
  <c r="E23" i="1"/>
  <c r="E14" i="1" s="1"/>
  <c r="E26" i="1"/>
  <c r="D29" i="1"/>
  <c r="D28" i="1"/>
  <c r="C26" i="1"/>
  <c r="D11" i="1"/>
  <c r="D8" i="1"/>
  <c r="D7" i="1"/>
  <c r="D6" i="1"/>
  <c r="D5" i="1"/>
  <c r="C14" i="1"/>
  <c r="D4" i="1"/>
  <c r="D3" i="1"/>
  <c r="D13" i="1"/>
  <c r="E2" i="1"/>
  <c r="C2" i="1"/>
  <c r="D26" i="1" l="1"/>
  <c r="D2" i="1"/>
  <c r="D14" i="1"/>
</calcChain>
</file>

<file path=xl/sharedStrings.xml><?xml version="1.0" encoding="utf-8"?>
<sst xmlns="http://schemas.openxmlformats.org/spreadsheetml/2006/main" count="124" uniqueCount="96">
  <si>
    <t>Проект</t>
  </si>
  <si>
    <t>План высвобождения трудозатрат ЦИО (отвечающего за проект), часы</t>
  </si>
  <si>
    <t>Факт высвобождения трудозатрат всего, часы</t>
  </si>
  <si>
    <t>Реализовано Мингосуправления</t>
  </si>
  <si>
    <t>Расчеты по трудозатратам</t>
  </si>
  <si>
    <t>График отчетных встреч</t>
  </si>
  <si>
    <t>Ссылка на акцептованную идею</t>
  </si>
  <si>
    <t>Интеллектуальный анализ цен</t>
  </si>
  <si>
    <t>Да</t>
  </si>
  <si>
    <t>Нет</t>
  </si>
  <si>
    <t>Еженедельно по понедельникам</t>
  </si>
  <si>
    <t>Анализ проектов ГЧП</t>
  </si>
  <si>
    <t>День недели - пятница
Время - 10:00-11:00
Формат: очно.</t>
  </si>
  <si>
    <t>https://transformation.rm.mosreg.ru/#/issues/11562</t>
  </si>
  <si>
    <t>ИИ робот Ник</t>
  </si>
  <si>
    <t>КРД – количество рабочих дней в году = 247 дней ШТ – количество задействованных сотрудников = 5 шт.ед. Ч – час рабочего времени = 60 мин. ПУШ(б) – время на подготовку одного сообщения было = 60 мин. ПУШ(с) – время на подготовку одного сообщения стало = 10 мин. ПР(б) – время на проверку информации о закупке было = 10 мин. ПР(с) – время на проверку информации о закупке стало = 1 мин. УВ(б) – время на подготовку уведомления о поступившей жалобе было = 5 мин. УВ(с) – время на подготовку уведомления о поступившей жалобе стало = 1 мин. БЫЛО: (ПУШ(б) + ПР(б) + УВ(б)) * ШТ * КРД / Ч СТАЛО: (ПУШ(с) + ПР(с) + УВ(с)) * ШТ * КРД / Ч  ЭФФЕКТ: БЫЛО – СТАЛО = 1543 – 247 = 1296</t>
  </si>
  <si>
    <t>Очно, каждый понедельник с 10:00–11:00 ч.</t>
  </si>
  <si>
    <t>https://transformation.rm.mosreg.ru/#/issues/11556</t>
  </si>
  <si>
    <t>ЛНА СУБД</t>
  </si>
  <si>
    <t>ВР(б) - время на поиск документа до внедрения = 20 мин. ВР(с) - время на поиск документа после внедрения = 1 мин. ПУ - количество сотрудников правового управления = 9 чел. КД - среднее количество документов в год = 1050 шт. Ч - час рабочего времени = 60 мин. БЫЛО: (ВР(б) * ПУ * КД) / Ч = 3150 ч СТАЛО: (ВР(с) * ПУ * КД) / Ч = 157,5 ч  ЭФФЕКТ: БЫЛО - СТАЛО = 2992,5 ч</t>
  </si>
  <si>
    <t>Еженедельно по вторникам</t>
  </si>
  <si>
    <t>https://transformation.rm.mosreg.ru/#/issues/11554</t>
  </si>
  <si>
    <t>Оптимизация процессов ЗИТ</t>
  </si>
  <si>
    <t>1.	Публикация торгов ЛОТ – количество лотов, опубликованных в 2025 году = 6928 лотов Ч – час рабочего времени = 60 мин. ЛОТ(б) – время на публикацию одного лота было = 86 мин. ЛОТ(с) – время на публикацию одного лота стало = 46 мин. БЫЛО: ЛОТ * ЛОТ(б) / Ч = 9930 ч СТАЛО: ЛОТ * ЛОТ(с) / Ч = 5311 ч ЭФФЕКТ_ЛОТ: БЫЛО – СТАЛО = 4619 ч  2.	Внесение изменений в процедуру торгов (продления): ЛОТ-ПР – количество продленных лотов в 2025 году = 24 700 ЛОТ-ПР(б) – время на внесение изменений было = 12 мин. ЛОТ-ПР(с) – время на внесение изменений стало = 5 мин. БЫЛО: ЛОТ-ПР * ЛОТ-ПР(б) / Ч = 4940 ч СТАЛО: ЛОТ-ПР * ЛОТ-ПР(с) / Ч = 2058 ч ЭФФЕКТ_ЛОТ-ПР: БЫЛО – СТАЛО = 2882 ч  3.	Подготовка протоколов по реализованным лотам: ЛОТ-Р – количество реализованных лотов в 2025 году = 4440 лотов ПРОТ – количество протоколов на 1 лот = 2 шт. ЛОТ-Р(б) – время на 1 протокол было = 15 мин. ЛОТ-Р(с) – время на 1 протокол стало = 7 мин. БЫЛО: ЛОТ-Р * ЛОТ-Р(б) * ПРОТ / Ч = 2220 ч СТАЛО: ЛОТ-Р * ЛОТ-Р(с) * ПРОТ / Ч = 1036 ч ЭФФЕКТ_ЛОТ-Р: БЫЛО – СТАЛО = 1184 ч  4.	Подготовка протоколов по несостоявшимся лотам: ЛОТ-Н – количество несостоявшихся лотов в 2025 году = 730 лотов ПРОТ – количество протоколов на 1 лот = 1 шт. ЛОТ-Н(б) – время на 1 протокол было = 15 мин. ЛОТ-Н(с) – время на 1 протокол стало = 7 мин. БЫЛО: ЛОТ-Н * ЛОТ-Н(б) * ПРОТ / Ч = 182 ч СТАЛО: ЛОТ-Н * ЛОТ-Н(с) * ПРОТ / Ч = 85 ч ЭФФЕКТ_ЛОТ-Н: БЫЛО – СТАЛО = 97 ч  ЭФФЕКТ: ЭФФЕКТ_ЛОТ + ЭФФЕКТ_ЛОТ-ПР + ЭФФЕКТ_ЛОТ-Р + ЭФФЕКТ_ЛОТ-Н = 8782</t>
  </si>
  <si>
    <t>https://transformation.rm.mosreg.ru/#/issues/11571</t>
  </si>
  <si>
    <t>Интеллектуальный аналитик торгов</t>
  </si>
  <si>
    <t>КРД – количество рабочих дней в году = 247 дней Ч – час рабочего времени = 60 мин. ВР-ПОДГ(б) – время на подготовку информации для реестра было = 180 мин. ВР-ПОДГ(с) – время на подготовку информации для реестра стало = 0 мин. ВР-БД(б) – время на сведение информации и внесение в БД было = 180 мин. ВР-БД(с) – время на сведение информации и внесение в БД было = 0 мин. БЫЛО: (ВР-ПОДГ(б) + ВР-БД(с)) * КРД / Ч = 1359 ч СТАЛО: (ВР-ПОДГ(с) + ВР-БД(с)) * КРД / Ч = 0 ч ЭФФЕКТ: БЫЛО -СТАЛО = 1359 ч.</t>
  </si>
  <si>
    <t>https://transformation.rm.mosreg.ru/#/issues/11552</t>
  </si>
  <si>
    <t>Цифровые коммуникации ЗИТ</t>
  </si>
  <si>
    <t>КРД – количество рабочих дней в году = 247 дней Ч – час рабочего времени = 60 мин. МП-ЛОТ(б) – методологическая поддержка ЦИО/ОМСУ (статус лота) было = 32 мин. МП-ЛОТ(с) – методологическая поддержка ЦИО/ОМСУ (статус лота) было = 0 мин. МП-КЗ(б) – методологическая поддержка ЦИО/ОМСУ (контроль «красных зон») было = 28 мин. МП-КЗ(с) – методологическая поддержка ЦИО/ОМСУ (контроль «красных зон») было = 0 мин. МП-НПА(б) – методологическая поддержка ЦИО/ОМСУ (разъяснение положений НПА) было = 75 мин. МП-НПА(с) – методологическая поддержка ЦИО/ОМСУ (разъяснение положений НПА) было = 0 мин. БС(б) – быстрая статистика (подготовка ежедневных смс) было = 40 мин. БС(с) – быстрая статистика (подготовка ежедневных смс) стало = 0 мин. КЗ – количество звонков (поддержка граждан и бизнеса) = 4600 КЗ-СТ – количество звонков со стандартными ответами 80% = 3680 КП – время консультации на 1 звонок = 10 мин. МП-НПА(с) – методологическая поддержка ЦИО/ОМСУ (разъяснение положений НПА) было = 0 мин. БЫЛО_КП: КЗ * КП / Ч = 767 ч СТАЛО_КП: (КЗ – КЗ-СТ) * КП /Ч = 153 ч  БЫЛО_ВН: (МП-ЛОТ(б) + МП-КЗ(б) + МП-НПА(б) + БС(б)) * КРД / Ч +БЫЛО_КП = 1487 СТАЛО_ВН: (МП-ЛОТ(с) + МП-КЗ(с) + МП-НПА(с) + БС(с)) * КРД / Ч +СТАЛО_КП = 153 ЭФФЕКТ_ВН – внутренний эффект = БЫЛО_ВН – СТАЛО_ВН = 1334 ч БЫЛО_ВНЕШ: (МП-ЛОТ(б) + МП-НПА(б)) * КРД / Ч = 440,5 ч СТАЛО_ВНЕШ: (МП-ЛОТ(с) + МП-НПА(с)) * КРД / Ч = 0 ч ЭФФЕКТ_ВНЕШ – внешний эффект = БЫЛО_ВНЕШ – СТАЛО_ВНЕШ = 440,5 ч ЭФФЕКТ: 1774 ч</t>
  </si>
  <si>
    <t>https://transformation.rm.mosreg.ru/#/issues/11553</t>
  </si>
  <si>
    <t>Оптимизация закупок малого объема</t>
  </si>
  <si>
    <t>-</t>
  </si>
  <si>
    <t>https://transformation.rm.mosreg.ru/#/issues/10536</t>
  </si>
  <si>
    <t>Задание на проектирование и инженерные изыскания в xml</t>
  </si>
  <si>
    <t>Ч    – час рабочего времени = 60 мин. КК   – количество контрактов ПИР+СМР = 1 256 ВР-ПОДГ(б) – время на подготовку пакета документов было = 56 ч (7 дней × 8 ч) ВР-ПОДГ(с) – время на подготовку пакета документов стало = 8 ч (1 день × 8 ч) ВР-РАСС(б) – время на рассмотрение пакета документов было = 4 ч ВР-РАСС(с) – время на рассмотрение пакета документов стало = 1 ч  ВНЕШНИЕ ТРУДОЗАТРАТЫ (подготовка пакета документов)  БЫЛО:  КК * ВР-ПОДГ(б) = 1 256 * 56 = 70 336 ч СТАЛО: КК * ВР-ПОДГ(с) = 1 256 * 8  = 10 048 ч ЭФФЕКТ (внешний): 70 336 – 10 048 = 60 288 ч  ВНУТРЕННИЕ ТРУДОЗАТРАТЫ (рассмотрение пакета документов) БЫЛО:  КК * ВР-РАСС(б) = 1 256 * 4 = 5 024 ч СТАЛО: КК * ВР-РАСС(с) = 1 256 * 1 = 1 256 ч ЭФФЕКТ (внутренний): 5 024 – 1 256 = 3 768 ч  ЭФФЕКТ ИТОГО: 60 288 + 3 768 = 64 056 ч</t>
  </si>
  <si>
    <t>https://transformation.rm.mosreg.ru/#/issues/11570</t>
  </si>
  <si>
    <t>Смарт-допуск к ЗИТ</t>
  </si>
  <si>
    <t>Ч    – час рабочего времени = 60 мин. КРД  – количество рабочих дней в году = 247 ЧС   – численность сотрудников = 3 чел. КЗ   – количество заявок в 2025 году = 11 577 НДС  – нагрузка на 1 сотрудника в день = 11 577 / 247 / 3 = 16 заявок ВР-ЗАЯ(б) – время на 1 заявку было = 18 мин. ВР-ЗАЯ(с) – время на 1 протокол стало = 3 мин.  БЫЛО:  ВР-ЗАЯ(б) * НДС * ЧС * КРД / Ч = 18 * 16 * 3 * 247 / 60 = 3 556,8 ч СТАЛО: ВР-ЗАЯ(с) * НДС * ЧС * КРД / Ч =  3 * 16 * 3 * 247 / 60 =   592,8 ч ЭФФЕКТ: БЫЛО – СТАЛО = 3 556,8 – 592,8 = 2 964,0 ч</t>
  </si>
  <si>
    <t>https://transformation.rm.mosreg.ru/#/issues/11551</t>
  </si>
  <si>
    <t>ИИ проверка закупок</t>
  </si>
  <si>
    <t>2 раза в месяц, четверг, с 10:00 до 11:00, онлайн формат</t>
  </si>
  <si>
    <t>https://transformation.rm.mosreg.ru/#/issues/11550</t>
  </si>
  <si>
    <t>Робот закупщик (пилот – учебники и ямочный ремонт во дворах)</t>
  </si>
  <si>
    <t>ПЕРЕМЕННЫЕ  Ч    – час рабочего времени = 60 мин. КЗ-ЯР  – количество закупок по ямочному ремонту = 2 812 КЗ-КН  – количество закупок по книгам = 4 951 ВР-ЯР(б) – время заполнения 1 закупки по ямочному ремонту было = 80 мин. ВР-КН(б) – время заполнения 1 закупки по книгам было = 40 мин. ВР-ЗАК(с) – время заполнения 1 закупки стало = 1 мин.  БЛОК 1. ЯМОЧНЫЙ РЕМОНТ  БЫЛО:  КЗ-ЯР * ВР-ЯР(б) / Ч = 2 812 * 80 / 60 = 3 749,3 ч СТАЛО: КЗ-ЯР * ВР-ЗАК(с) / Ч = 2 812 * 1 / 60 =    46,9 ч ЭФФЕКТ: 3 749,3 – 46,9 = 3 702,4 ч  БЛОК 2. КНИГИ  БЫЛО:  КЗ-КН * ВР-КН(б) / Ч = 4 951 * 40 / 60 = 3 300,7 ч СТАЛО: КЗ-КН * ВР-ЗАК(с) / Ч = 4 951 * 1 / 60 =    82,5 ч ЭФФЕКТ: 3 300,7 – 82,5 = 3 218,2 ч  ЭФФЕКТ ИТОГО: 3 702,4 + 3 218,2 = 6 920,6 ч</t>
  </si>
  <si>
    <t>https://transformation.rm.mosreg.ru/#/issues/10521</t>
  </si>
  <si>
    <t>Панель управления заказчика + ИИ</t>
  </si>
  <si>
    <t>Ч    – час рабочего времени = 60 мин. КЗ   – количество закупок в ЕАСУЗ 44 в 2025 году = 370 000  ВР-ЗАК(б) – время контрактного управляющего на 1 закупку было = 10 мин. ВР-ЗАК(с) – время контрактного управляющего на 1 закупку стало = 1 мин. БЫЛО:  КЗ * ВР-ЗАК(б) / Ч = 370 000 * 10 / 60 = 61 666,7 ч СТАЛО: КЗ * ВР-ЗАК(с) / Ч = 370 000 *  1 / 60 =  6 166,7 ч  ЭФФЕКТ: БЫЛО – СТАЛО = 61 666,7 – 6 166,7 = 55 500,0 ч</t>
  </si>
  <si>
    <t>Еженедельно по четвергам в 11:00. Формат: ВКС/очно</t>
  </si>
  <si>
    <t>https://transformation.rm.mosreg.ru/#/issues/10525</t>
  </si>
  <si>
    <t>Цифровой двойник сотрудника (ИИ)</t>
  </si>
  <si>
    <t>КРД – количество рабочих дней в году = 247 дней Ч – час рабочего времени = 60 мин. ФЧ – фактическая численность сотрудников = 131 чел.   в т.ч. ККП = 52 чел.   в т.ч. РЦТ = 79 чел. СР – среднее время на поиск ответов на типовые вопросы = 15 мин. (среднее между 10 и 20 мин.)  ВР-ПОИСК(б) – время на поиск ответов на типовые вопросы было = 15 мин./чел. в день ВР-ПОИСК(с) – время на поиск ответов на типовые вопросы стало = 0 мин. (задачу берёт на себя бот)  БЫЛО (всего): ФЧ * СР * КРД / Ч = 131 * 15 * 247 / 60 = 8 089 ч БЫЛО (ККП):   ККП * СР * КРД / Ч = 52 * 15 * 247 / 60  = 3 211 ч БЫЛО (РЦТ):   РЦТ * СР * КРД / Ч = 79 * 15 * 247 / 60  = 4 878 ч  СТАЛО: 0 ч  ЭФФЕКТ (всего): БЫЛО – СТАЛО = 8 089 ч   в т.ч. ККП = 3 211 ч   в т.ч. РЦТ = 4 878 ч</t>
  </si>
  <si>
    <t>https://transformation.rm.mosreg.ru/#/issues/10543</t>
  </si>
  <si>
    <t>Трансформация управления аналитики</t>
  </si>
  <si>
    <t>На данных 2025 года: (ТУА) Трансформация управления аналитики = (1139+739+1784+887+1536)/1972 = 3,1 штатных едениц  (Ц) Поиск цен, чч = 13665 закупок* 5 минут / 60 минут (Ж) Жалобы, чч = 1847 жалоб * 24 минуты / 60 минут  (К) КОЗ, чч = 3567 позиций * 30 минут / 60 минут  (КЗ) КОЗ заявки, чч = 1774 заявок * 30 минут / 60 минут  (ТЗ) Шаблоны ТЗ, чч = 64 шаблона * 2 часа * 12 месяцев</t>
  </si>
  <si>
    <t>Пятница
10:00-11:00
Онлайн</t>
  </si>
  <si>
    <t>https://transformation.rm.mosreg.ru/#/issues/10550</t>
  </si>
  <si>
    <t>Оптимизация закупок 223-ФЗ</t>
  </si>
  <si>
    <t>БЛОК 1. ПОЛУЧЕНИЕ СВЕДЕНИЙ ИЗ ПИК ПО ДОГОВОРУ КД   – количество договоров в 2025 году = 74 592 Ч    – час рабочего времени = 60 мин. ВР-ПИК(б) – время на 1 договор было = 40 мин. ВР-ПИК(с) – время на 1 договор стало = 10 мин. БЫЛО:  КД * ВР-ПИК(б) / Ч = 74 592 * 40 / 60 = 49 728,0 ч СТАЛО: КД * ВР-ПИК(с) / Ч = 74 592 * 10 / 60 = 12 432,0 ч  ЭФФЕКТ ИТОГО: 49 728,0 – 12 432,0 = 37 296,0 ч   в т.ч. ЦИО:  37 296,0 * 75% = 27 972,0 ч   в т.ч. ОМСУ: 37 296,0 * 25% =  9 324,0 ч  БЛОК 2. СЕРВИС ПО ДОПОЛНИТЕЛЬНЫМ СОГЛАШЕНИЯМ ПИК КДС  – количество доп. соглашений в 2025 году = 9 804 ВР-ДС(б) – время на 1 д/с было = 30 мин. ВР-ДС(с) – время на 1 д/с стало = 15 мин. БЫЛО:  КДС * ВР-ДС(б) / Ч = 9 804 * 30 / 60 = 4 902,0 ч СТАЛО: КДС * ВР-ДС(с) / Ч = 9 804 * 15 / 60 = 2 451,0 ч  ЭФФЕКТ ИТОГО: 4 902,0 – 2 451,0 = 2 451,0 ч   в т.ч. ЦИО:  2 451,0 * 50% =   898,0 ч   в т.ч. ОМСУ: 2 451,0 * 50% = 1 225,5 ч  БЛОК 3. СЕРВИС ПРИЁМА/ПЕРЕДАЧИ СВЕДЕНИЙ ПО УИН КАК  – количество актуализаций в год = 52 (еженедельно) ВР-УИН(б) – время на 1 актуализацию было = 1 800 мин. ВР-УИН(с) – время на 1 актуализацию стало = 120 мин. БЫЛО:  КАК * ВР-УИН(б) / Ч = 52 * 1 800 / 60 = 1 560,0 ч СТАЛО: КАК * ВР-УИН(с) / Ч = 52 *   120 / 60 =   104,0 ч  ЭФФЕКТ: 1 560,0 – 104,0 = 1 456,0 ч  БЛОК 4. КОНФИГУРАТОР СРОКОВ ККЗ  – количество опубликованных конкурентных закупок = 12 524 ВР-КС(б) – время на 1 закупку было = 10 мин. ВР-КС(с) – время на 1 закупку стало = 1 мин. БЫЛО:  ККЗ * ВР-КС(б) / Ч = 12 524 * 10 / 60 = 2 087,3 ч СТАЛО: ККЗ * ВР-КС(с) / Ч = 12 524 *  1 / 60 =   208,7 ч ЭФФЕКТ ИТОГО: 2 087,3 – 208,7 = 1 878,6 ч   в т.ч. ЦИО:  1 878,6 * 90% * (ЦИО доля)  =   629,4 ч   в т.ч. ОМСУ: 1 878,6 * 90% * (ОМСУ доля) = 1 249,2 ч  ИТОГО ПО ВСЕМ БЛОКАМ ЭФФЕКТ: 37 296,0 + 2 451,0 + 1 456,0 + 1 878,6 = 43 081,6 ч</t>
  </si>
  <si>
    <t>Еженедельно по понедельникам в 10:00 (онлайн)</t>
  </si>
  <si>
    <t>https://transformation.rm.mosreg.ru/#/issues/10552</t>
  </si>
  <si>
    <t>ИИ мониторинг закупок 223-ФЗ</t>
  </si>
  <si>
    <t>Ч    – час рабочего времени = 60 мин.  БЛОК 1. СОГЛАСОВАНИЕ ЗАКУПОК КЗС  – количество закупок на согласование в 2025 году = 3 201 ВР-СГ(б) – время на 1 закупку было = 40 мин. ВР-СГ(с) – время на 1 закупку стало = 10 мин. БЫЛО:  КЗС * ВР-СГ(б) / Ч = 3 201 * 40 / 60 = 2 134,0 ч СТАЛО: КЗС * ВР-СГ(с) / Ч = 3 201 * 10 / 60 =   533,5 ч  ЭФФЕКТ: 2 134,0 – 533,5 = 1 600,5 ч  БЛОК 2. МОНИТОРИНГ ЗАКУПОК  КЗМ  – количество закупок на мониторинге в 2025 году = 2 163 ВР-МН(б) – время на 1 закупку было = 30 мин. ВР-МН(с) – время на 1 закупку стало = 10 мин. БЫЛО:  КЗМ * ВР-МН(б) / Ч = 2 163 * 30 / 60 = 1 081,5 ч СТАЛО: КЗМ * ВР-МН(с) / Ч = 2 163 * 10 / 60 =   360,5 ч ЭФФЕКТ: 1 081,5 – 360,5 = 721,0 ч  ЭФФЕКТ ИТОГО: 1 600,5 + 721,0 = 2 321,5 ч</t>
  </si>
  <si>
    <t>https://transformation.rm.mosreg.ru/#/issues/10553</t>
  </si>
  <si>
    <t>Судебный навигатор</t>
  </si>
  <si>
    <t>Еженедельно по вторникам в 16:00 (очно)</t>
  </si>
  <si>
    <t>https://transformation.rm.mosreg.ru/#/issues/10716</t>
  </si>
  <si>
    <t>Оптимизация организационного блока РЦТ</t>
  </si>
  <si>
    <t>АВТОМАТИЗАЦИЯ ПОДГОТОВКИ ОТЧЁТОВ KPI Ч      – час рабочего времени = 60 мин. ФГВ    – годовой фонд рабочего времени 1 сотрудника = 1 972 ч ЧС     – численность сотрудников = 81 чел. ЧР     – численность руководителей = 13 чел. ВР-СОТ(б)  – время подготовки отчёта сотрудником было = 2 ч ВР-РУК(б)  – время подготовки отчёта руководителем было = 4 ч ПЕР-СОТ    – количество отчётных периодов (сотрудник) = 17 ПЕР-МЕС    – ежемесячные отчёты = 12 ПЕР-КВА    – квартальные отчёты = 4 ПЕР-ГОД    – годовые отчёты = 1 ВР-СОТ(с)  – время подготовки отчёта сотрудником стало = 10 мин. ВР-РУК(с)  – время подготовки отчёта руководителем стало = 1 ч  Сотрудники: ВР-СОТ(б) * ПЕР-СОТ * ЧС = 2 * 17 * 81           = 2 754 ч Рук. (мес): ВР-РУК(б) * ПЕР-МЕС * ЧР = 4 * 12 * 13            =   624 ч Рук. (кв.): ВР-РУК(б) * ПЕР-КВА * ЧР = 4 *  4 * 13            =   208 ч Рук. (год): ВР-РУК(б) * ПЕР-ГОД * ЧР = 4 *  1 * 13            =    52 ч ИТОГО БЫЛО: 2 754 + 624 + 208 + 52 = 3 638 ч  Сотрудники: ВР-СОТ(с) * ПЕР-МЕС * ЧС / Ч = 10 * 12 * 81 / 60 =   162 ч Рук. (мес): ВР-РУК(с) * ПЕР-МЕС * ЧР     =  1 * 12 * 13       =   156 ч Рук. (кв.): ВР-РУК(с) * ПЕР-КВА * ЧР     =  1 *  4 * 13       =    52 ч Рук. (год): ВР-РУК(с) * ПЕР-ГОД * ЧР     =  1 *  1 * 13       =    13 ч ИТОГО СТАЛО: 162 + 156 + 52 + 13 = 383 ч  ЭФФЕКТ: 3 638 – 383 = 3 255 ч = 3 255 / 1 972 = 1,6 шт.ед.</t>
  </si>
  <si>
    <t>Каждую среду 10:00 
Формат: очно/ВКС</t>
  </si>
  <si>
    <t>https://transformation.rm.mosreg.ru/#/issues/10554</t>
  </si>
  <si>
    <t>Электронные ДС с ПИК</t>
  </si>
  <si>
    <t>Еженедельно по понедельникам 12:00 (ВКС)</t>
  </si>
  <si>
    <t>https://transformation.rm.mosreg.ru/#/issues/10532</t>
  </si>
  <si>
    <t>Авто план-график</t>
  </si>
  <si>
    <t>Еженедельно по понедельникам 12:00</t>
  </si>
  <si>
    <t>https://transformation.rm.mosreg.ru/#/issues/10518</t>
  </si>
  <si>
    <t>ИИ-Ассистент ЕАСУЗ</t>
  </si>
  <si>
    <t>КРД    – количество рабочих дней в году = 248 ЧС-ККП – численность специалистов ККП = 3 чел. ЧС-РЦТ – численность специалистов РЦТ = 7 чел. ЧС     – общая численность = 3 + 7 = 10 чел. ВР-ПОИСК(б) – время на поиск ответов в документах было = 4 ч/день ВР-ПОИСК(с) – время на поиск ответов в документах стало = 0 ч               (ИИ-бот находит точный ответ за 10 секунд)  БЫЛО:  ВР-ПОИСК(б) * ЧС * КРД = 4 * 10 * 248 = 9 920 ч СТАЛО: ВР-ПОИСК(с) * ЧС * КРД = 0 * 10 * 248 =     0 ч  ЭФФЕКТ ИТОГО: 9 920 – 0 = 9 920 ч   в т.ч. ККП: 4 * 3 * 248 = 2 976 ч   в т.ч. РЦТ: 4 * 7 * 248 = 6 944 ч</t>
  </si>
  <si>
    <t>Еженедельно по понедельникам на проектном офисе в 12:00</t>
  </si>
  <si>
    <t>https://transformation.rm.mosreg.ru/#/issues/9389</t>
  </si>
  <si>
    <t>ИИ аналитика рисков</t>
  </si>
  <si>
    <t>1. Ответ на запрос в течение 1 минуты (вместо 40 мин) – сокращение 1,2 тыс ЧЧ/год для Комитета 2. Множество запросов = 1 ИИ (вместо 15 минут на поиск информации) - сокращение 93 тыс ЧЧ/год для заказчиков (при учете поиска информации по 10 тыс объектам 1 раз/неделю</t>
  </si>
  <si>
    <t>Еженедельно по средам</t>
  </si>
  <si>
    <t>https://transformation.rm.mosreg.ru/#/issues/8948</t>
  </si>
  <si>
    <t>Цифровое нормирование</t>
  </si>
  <si>
    <t>Биржа строительных ресурсов</t>
  </si>
  <si>
    <t>Ч    – час рабочего времени = 60 мин.
КД   – количество дел в 2025 году = 70
ВР-ДЕЛ(б) – время на 1 дело было = 3 318 мин.
ВР-ДЕЛ(с) – время на 1 дело стало = 756 мин.
БЫЛО:  КД * ВР-ДЕЛ(б) / Ч = 70 * 3 318 / 60 = 3 871,0 ч
СТАЛО: КД * ВР-ДЕЛ(с) / Ч = 70 *   756 / 60 =   882,0 ч
ЭФФЕКТ: БЫЛО – СТАЛО = 3 871,0 – 882,0 = 2 989,0 ч</t>
  </si>
  <si>
    <t>Ч    – час рабочего времени = 60 мин.
ФГВ  – годовой фонд рабочего времени 1 сотрудника = 1 972 ч
КЭД  – количество ЭДС в 2025 году = 23 415
КЭД-СТП – количество ЭДС через СТП и методологию = 23 415 * 40% = 9 366
ВР-ЭДС(б)  – полный цикл 1 ЭДС (заказчик) было = 4 ч
ВР-ЭДС(с)  – полный цикл 1 ЭДС (заказчик) стало = 15 мин. ВР-СТП(б)  – время отработки СТП и методологии на 1 ЭДС было = 40 мин. ВР-СТП(с)  – время отработки СТП и методологии на 1 ЭДС стало = 8 мин.  БЛОК 1. ТРУДОЗАТРАТЫ ЗАКАЗЧИКА БЫЛО:  КЭД * ВР-ЭДС(б)      = 23 415 * 4        = 93 660 ч → 93 660 / 1 972 = 47,5 шт.ед. СТАЛО: КЭД * ВР-ЭДС(с) / Ч  = 23 415 * 15 / 60  =  5 854 ч →  5 854 / 1 972 =  3,0 шт.ед. ЭФФЕКТ: 93 660 – 5 854 = 87 806 ч → 87 806 / 1 972 = 44,5 шт.ед.  БЛОК 2. ТРУДОЗАТРАТЫ СТП И МЕТОДОЛОГИИ БЫЛО:  КЭД-СТП * ВР-СТП(б) / Ч = 9 366 * 40 / 60 = 6 244 ч СТАЛО: КЭД-СТП * ВР-СТП(с) / Ч = 9 366 *  8 / 60 = 1 249 ч ЭФФЕКТ: 6 244 – 1 249 = 4 995 ч → 4 995 / 1 972 = 2,5 шт.ед.  ИТОГО ЭФФЕКТ ЭФФЕКТ (ч):     87 806 + 4 995 = 92 801 ч ЭФФЕКТ (шт.ед.): 44,5 + 2,5   = 47,0 шт.ед.</t>
  </si>
  <si>
    <t>Внутрнее высвобождение</t>
  </si>
  <si>
    <t>КП – количество проектов = 38 шт.
КС – количество согласований = 6 раз
ВР(с) – среднее время рассмотрения каждого документа = 6 ч
ВР(ии) – время рассмотрения с ИИ = 4 ч
ШТ – количество задействованных сотрудников = 4 шт.ед.
БЫЛО: КП * КС * ВР(с) * ШТ = 5472
СТАЛО: КП * КС * ВР(ии) * ШТ = 3648
ЭФФЕКТ: БЫЛО – СТАЛО = 5472 – 3648 = 1824 (912 ККП + 912 РЦТ)</t>
  </si>
  <si>
    <t>Ч – час рабочего времени = 60 мин.
КЗ – количество закупок на МВК в 2025 году = 1 685,  из них ЦИО – 726, ОМСУ – 959  
ВР-НД(б) – время проверки недостающих документов было = 10 мин./закупка  
ВР-НД(с) – время проверки недостающих документов стало = 1 мин./закупка   
ВР-ТН(б) – время проверки технических нарушений было = 90 мин./закупка  
ВР-ТН(с) – время проверки технических нарушений стало = 10 мин./закупка  
 ВР-НПА(б) – время проверки актуальности НПА было = 60 мин./закупка 
ВР-НПА(с) – время проверки актуальности НПА стало = 5 мин./закупка   
ВР-ОЖД – время ожидания проверки пакета документов = 8 ч/закупка   
ВНУТРЕННИЕ ТРУДОЗАТРАТЫ (сотрудник ККП) БЫЛО:  ВР-НД(б) * КЗ / Ч = 10 * 1 685 / 60 = 281 ч 
 ВР-ТН(б) * КЗ / Ч = 90 * 1 685 / 60 = 2 528 ч  
ВР-НПА(б) * КЗ / Ч = 60 * 1 685 / 60 = 1 685 ч  
ИТОГО БЫЛО: 4 494 ч
СТАЛО: ВР-НД(с) * КЗ / Ч = 1 * 1 685 / 60 = 28 ч
ВР-ТН(с) * КЗ / Ч = 10 * 1 685 / 60 = 281 ч
ВР-НПА(с) * КЗ / Ч = 5 * 1 685 / 60 = 140 ч
ИТОГО СТАЛО: 449 ч
ЭФФЕКТ (внутренний) Итого: 4 494 – 449 = 4 045 ч
ВНЕШНИЕ ТРУДОЗАТРАТЫ (время ожидания заказчика) ЦИО БЫЛО: ВР-ОЖД * КЗ = 8 * 726 = 5 808 ч
СТАЛО: 0 ч (сокращение 100%)
ЭФФЕКТ (внешний): 5 808 ч
ОМСУ БЫЛО: ВР-ОЖД * КЗ = 8 * 959 = 7 672 ч
СТАЛО: 0 ч (сокращение 100%)  ЭФФЕКТ (внешний): 7 672 ч
ЭФФЕКТ (внешний) Итого: 5 808 + 7 672 = 13 480 ч
ЭФФЕКТ ИТОГО: 4 045 + 13 480 = 17 525 ч</t>
  </si>
  <si>
    <t>Ч    – час рабочего времени = 60 мин.
ФГВ  – годовой фонд рабочего времени 1 сотрудника = 1 972 ч
КПГ(б) – количество версий опубликованных ПГ в ЕИС было = 162 870
КПГ(с) – количество версий опубликованных ПГ в ЕИС стало = 81 435 (сокращение в 2 раза)
ВР-ПГ  – время на 1 версию ПГ = 30 мин.          (согласование 10 мин. + публикация 10 мин. + фин.контроль 10 мин.)
КНИ(б) – количество внесений несущественных изменений было = 600 000
КНИ(с) – количество внесений несущественных изменений стало = 0 ВР-НИ  – время на 1 внесение несущественных изменений = 10 мин. 
БЛОК 1. ВЕРСИИ ПЛАНОВ-ГРАФИКОВ
БЫЛО:  КПГ(б) * ВР-ПГ / Ч = 162 870 * 30 / 60 = 81 435 ч → 81 435 / 1 972 = 41 шт.ед.
СТАЛО: КПГ(с) * ВР-ПГ / Ч = 81 435 * 30 / 60  = 40 718 ч → 40 718 / 1 972 = 21 шт.ед. ЭФФЕКТ: 81 435 – 40 718 = 40 717 ч / 20 шт.ед.
БЛОК 2. НЕСУЩЕСТВЕННЫЕ ИЗМЕНЕНИЯ
БЫЛО:  КНИ(б) * ВР-НИ / Ч = 600 000 * 10 / 60 = 100 000 ч → 100 000 / 1 972 = 51 шт.ед.
СТАЛО: КНИ(с) * ВР-НИ / Ч = 0 * 10 / 60 = 0 ч → 0 шт.ед.
ЭФФЕКТ: 100 000 – 0 = 100 000 ч / 51 шт.ед.
ИТОГО ЭФФЕКТ  ЭФФЕКТ (ч):     40 717 + 100 000 = 140 717 ч ЭФФЕКТ (шт.ед): 20 + 51 = 71 шт.ед.</t>
  </si>
  <si>
    <t>План по проектам, часы</t>
  </si>
  <si>
    <t>высвобождение, шт. ед.</t>
  </si>
  <si>
    <t>Внешнее высвобождение, 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</si>
</sst>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₽_-;\-* #,##0.00\ _₽_-;_-* &quot;-&quot;??\ _₽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4"/>
      <color theme="1"/>
      <name val="Calibri"/>
      <family val="2"/>
      <charset val="204"/>
      <scheme val="minor"/>
    </font>
    <font>
      <b/>
      <sz val="1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2" fontId="3" fillId="0" borderId="2" xfId="0" applyNumberFormat="1" applyFont="1" applyBorder="1" applyAlignment="1">
      <alignment horizontal="center" vertical="top"/>
    </xf>
    <xf numFmtId="1" fontId="3" fillId="0" borderId="2" xfId="0" applyNumberFormat="1" applyFont="1" applyBorder="1" applyAlignment="1">
      <alignment horizontal="center" vertical="top"/>
    </xf>
    <xf numFmtId="1" fontId="3" fillId="0" borderId="0" xfId="1" applyNumberFormat="1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2" fontId="3" fillId="2" borderId="0" xfId="0" applyNumberFormat="1" applyFont="1" applyFill="1" applyAlignment="1">
      <alignment horizontal="center" vertical="top"/>
    </xf>
    <xf numFmtId="1" fontId="3" fillId="2" borderId="0" xfId="0" applyNumberFormat="1" applyFont="1" applyFill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2" fontId="3" fillId="3" borderId="0" xfId="0" applyNumberFormat="1" applyFont="1" applyFill="1" applyAlignment="1">
      <alignment horizontal="center" vertical="top"/>
    </xf>
    <xf numFmtId="1" fontId="3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166" fontId="3" fillId="0" borderId="2" xfId="0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66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2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1" fontId="5" fillId="4" borderId="4" xfId="0" applyNumberFormat="1" applyFont="1" applyFill="1" applyBorder="1" applyAlignment="1">
      <alignment horizontal="center" vertical="top"/>
    </xf>
    <xf numFmtId="1" fontId="5" fillId="4" borderId="5" xfId="0" applyNumberFormat="1" applyFont="1" applyFill="1" applyBorder="1" applyAlignment="1">
      <alignment horizontal="center" vertical="top"/>
    </xf>
    <xf numFmtId="166" fontId="5" fillId="4" borderId="4" xfId="0" applyNumberFormat="1" applyFont="1" applyFill="1" applyBorder="1" applyAlignment="1">
      <alignment horizontal="center" vertical="top"/>
    </xf>
    <xf numFmtId="2" fontId="5" fillId="4" borderId="4" xfId="0" applyNumberFormat="1" applyFont="1" applyFill="1" applyBorder="1" applyAlignment="1">
      <alignment horizontal="center" vertical="top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zoomScale="109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" sqref="E2"/>
    </sheetView>
  </sheetViews>
  <sheetFormatPr baseColWidth="10" defaultColWidth="9.1640625" defaultRowHeight="15" x14ac:dyDescent="0.2"/>
  <cols>
    <col min="1" max="1" width="35.33203125" style="1" customWidth="1"/>
    <col min="2" max="2" width="13.33203125" style="1" bestFit="1" customWidth="1"/>
    <col min="3" max="4" width="16.5" style="1" customWidth="1"/>
    <col min="5" max="5" width="19.1640625" style="1" bestFit="1" customWidth="1"/>
    <col min="6" max="6" width="21" style="1" customWidth="1"/>
    <col min="7" max="7" width="35.6640625" style="1" bestFit="1" customWidth="1"/>
    <col min="8" max="9" width="30.6640625" style="1" hidden="1" customWidth="1"/>
    <col min="10" max="10" width="58.6640625" style="1" hidden="1" customWidth="1"/>
    <col min="11" max="11" width="49" style="1" hidden="1" customWidth="1"/>
    <col min="12" max="16384" width="9.1640625" style="1"/>
  </cols>
  <sheetData>
    <row r="1" spans="1:11" s="2" customFormat="1" ht="49.5" customHeight="1" thickBot="1" x14ac:dyDescent="0.25">
      <c r="A1" s="30" t="s">
        <v>0</v>
      </c>
      <c r="B1" s="12" t="s">
        <v>93</v>
      </c>
      <c r="C1" s="12" t="s">
        <v>89</v>
      </c>
      <c r="D1" s="12" t="s">
        <v>94</v>
      </c>
      <c r="E1" s="12" t="s">
        <v>95</v>
      </c>
      <c r="F1" s="12" t="s">
        <v>1</v>
      </c>
      <c r="G1" s="12" t="s">
        <v>2</v>
      </c>
      <c r="H1" s="30" t="s">
        <v>4</v>
      </c>
      <c r="I1" s="30" t="s">
        <v>3</v>
      </c>
      <c r="J1" s="30" t="s">
        <v>5</v>
      </c>
      <c r="K1" s="30" t="s">
        <v>6</v>
      </c>
    </row>
    <row r="2" spans="1:11" s="11" customFormat="1" ht="20" thickBot="1" x14ac:dyDescent="0.25">
      <c r="A2" s="36"/>
      <c r="B2" s="37">
        <f>SUM(B3:B13)</f>
        <v>362601</v>
      </c>
      <c r="C2" s="37">
        <f t="shared" ref="C2:G2" si="0">SUM(C3:C13)</f>
        <v>25708</v>
      </c>
      <c r="D2" s="37">
        <f t="shared" si="0"/>
        <v>13.036511156186611</v>
      </c>
      <c r="E2" s="37">
        <f t="shared" si="0"/>
        <v>336893</v>
      </c>
      <c r="F2" s="37">
        <f t="shared" si="0"/>
        <v>11565</v>
      </c>
      <c r="G2" s="38">
        <f t="shared" si="0"/>
        <v>2993</v>
      </c>
      <c r="H2" s="15"/>
      <c r="I2" s="15"/>
      <c r="J2" s="15"/>
      <c r="K2" s="15"/>
    </row>
    <row r="3" spans="1:11" x14ac:dyDescent="0.2">
      <c r="A3" s="31" t="s">
        <v>18</v>
      </c>
      <c r="B3" s="21">
        <v>2993</v>
      </c>
      <c r="C3" s="22">
        <f>F3</f>
        <v>2993</v>
      </c>
      <c r="D3" s="22">
        <f>C3/1972</f>
        <v>1.5177484787018256</v>
      </c>
      <c r="E3" s="23">
        <f t="shared" ref="E3:E13" si="1">B3-C3</f>
        <v>0</v>
      </c>
      <c r="F3" s="21">
        <v>2993</v>
      </c>
      <c r="G3" s="24">
        <v>2993</v>
      </c>
      <c r="H3" s="3" t="s">
        <v>19</v>
      </c>
      <c r="I3" s="3" t="s">
        <v>9</v>
      </c>
      <c r="J3" s="3" t="s">
        <v>20</v>
      </c>
      <c r="K3" s="3" t="s">
        <v>21</v>
      </c>
    </row>
    <row r="4" spans="1:11" x14ac:dyDescent="0.2">
      <c r="A4" s="32" t="s">
        <v>71</v>
      </c>
      <c r="B4" s="3">
        <v>92801</v>
      </c>
      <c r="C4" s="4">
        <f>F4</f>
        <v>1995</v>
      </c>
      <c r="D4" s="4">
        <f t="shared" ref="D4:D29" si="2">C4/1972</f>
        <v>1.0116632860040569</v>
      </c>
      <c r="E4" s="5">
        <f t="shared" si="1"/>
        <v>90806</v>
      </c>
      <c r="F4" s="3">
        <v>1995</v>
      </c>
      <c r="G4" s="13"/>
      <c r="H4" s="3" t="s">
        <v>88</v>
      </c>
      <c r="I4" s="3" t="s">
        <v>8</v>
      </c>
      <c r="J4" s="3" t="s">
        <v>72</v>
      </c>
      <c r="K4" s="3" t="s">
        <v>73</v>
      </c>
    </row>
    <row r="5" spans="1:11" x14ac:dyDescent="0.2">
      <c r="A5" s="32" t="s">
        <v>77</v>
      </c>
      <c r="B5" s="3">
        <v>9920</v>
      </c>
      <c r="C5" s="3">
        <v>9920</v>
      </c>
      <c r="D5" s="4">
        <f t="shared" si="2"/>
        <v>5.0304259634888435</v>
      </c>
      <c r="E5" s="5">
        <f t="shared" si="1"/>
        <v>0</v>
      </c>
      <c r="F5" s="3">
        <v>2976</v>
      </c>
      <c r="G5" s="13"/>
      <c r="H5" s="3" t="s">
        <v>78</v>
      </c>
      <c r="I5" s="3" t="s">
        <v>8</v>
      </c>
      <c r="J5" s="3" t="s">
        <v>79</v>
      </c>
      <c r="K5" s="3" t="s">
        <v>80</v>
      </c>
    </row>
    <row r="6" spans="1:11" x14ac:dyDescent="0.2">
      <c r="A6" s="32" t="s">
        <v>7</v>
      </c>
      <c r="B6" s="3">
        <v>43340</v>
      </c>
      <c r="C6" s="4">
        <f>F6</f>
        <v>0</v>
      </c>
      <c r="D6" s="4">
        <f t="shared" si="2"/>
        <v>0</v>
      </c>
      <c r="E6" s="5">
        <f t="shared" si="1"/>
        <v>43340</v>
      </c>
      <c r="F6" s="3">
        <v>0</v>
      </c>
      <c r="G6" s="13"/>
      <c r="H6" s="3"/>
      <c r="I6" s="3" t="s">
        <v>8</v>
      </c>
      <c r="J6" s="3" t="s">
        <v>10</v>
      </c>
      <c r="K6" s="3"/>
    </row>
    <row r="7" spans="1:11" x14ac:dyDescent="0.2">
      <c r="A7" s="32" t="s">
        <v>43</v>
      </c>
      <c r="B7" s="3">
        <v>6920</v>
      </c>
      <c r="C7" s="4">
        <f>F7</f>
        <v>0</v>
      </c>
      <c r="D7" s="4">
        <f t="shared" si="2"/>
        <v>0</v>
      </c>
      <c r="E7" s="5">
        <f t="shared" si="1"/>
        <v>6920</v>
      </c>
      <c r="F7" s="3">
        <v>0</v>
      </c>
      <c r="G7" s="13"/>
      <c r="H7" s="3" t="s">
        <v>44</v>
      </c>
      <c r="I7" s="3" t="s">
        <v>8</v>
      </c>
      <c r="J7" s="3"/>
      <c r="K7" s="3" t="s">
        <v>45</v>
      </c>
    </row>
    <row r="8" spans="1:11" x14ac:dyDescent="0.2">
      <c r="A8" s="32" t="s">
        <v>46</v>
      </c>
      <c r="B8" s="3">
        <v>55500</v>
      </c>
      <c r="C8" s="4">
        <f>F8</f>
        <v>0</v>
      </c>
      <c r="D8" s="4">
        <f t="shared" si="2"/>
        <v>0</v>
      </c>
      <c r="E8" s="5">
        <f t="shared" si="1"/>
        <v>55500</v>
      </c>
      <c r="F8" s="3"/>
      <c r="G8" s="13"/>
      <c r="H8" s="3" t="s">
        <v>47</v>
      </c>
      <c r="I8" s="3" t="s">
        <v>8</v>
      </c>
      <c r="J8" s="3" t="s">
        <v>48</v>
      </c>
      <c r="K8" s="3" t="s">
        <v>49</v>
      </c>
    </row>
    <row r="9" spans="1:11" x14ac:dyDescent="0.2">
      <c r="A9" s="32" t="s">
        <v>50</v>
      </c>
      <c r="B9" s="3">
        <v>8089</v>
      </c>
      <c r="C9" s="4">
        <v>8089</v>
      </c>
      <c r="D9" s="4">
        <f t="shared" si="2"/>
        <v>4.1019269776876266</v>
      </c>
      <c r="E9" s="5">
        <f t="shared" si="1"/>
        <v>0</v>
      </c>
      <c r="F9" s="3">
        <v>3211</v>
      </c>
      <c r="G9" s="13"/>
      <c r="H9" s="3" t="s">
        <v>51</v>
      </c>
      <c r="I9" s="3" t="s">
        <v>9</v>
      </c>
      <c r="J9" s="3"/>
      <c r="K9" s="3" t="s">
        <v>52</v>
      </c>
    </row>
    <row r="10" spans="1:11" x14ac:dyDescent="0.2">
      <c r="A10" s="32" t="s">
        <v>61</v>
      </c>
      <c r="B10" s="3">
        <v>2321</v>
      </c>
      <c r="C10" s="4">
        <v>2321</v>
      </c>
      <c r="D10" s="4">
        <f t="shared" si="2"/>
        <v>1.1769776876267748</v>
      </c>
      <c r="E10" s="5">
        <f t="shared" si="1"/>
        <v>0</v>
      </c>
      <c r="F10" s="3">
        <v>0</v>
      </c>
      <c r="G10" s="13"/>
      <c r="H10" s="3" t="s">
        <v>62</v>
      </c>
      <c r="I10" s="3" t="s">
        <v>9</v>
      </c>
      <c r="J10" s="3" t="s">
        <v>59</v>
      </c>
      <c r="K10" s="3" t="s">
        <v>63</v>
      </c>
    </row>
    <row r="11" spans="1:11" x14ac:dyDescent="0.2">
      <c r="A11" s="32" t="s">
        <v>31</v>
      </c>
      <c r="B11" s="3">
        <v>0</v>
      </c>
      <c r="C11" s="4">
        <f>F11</f>
        <v>0</v>
      </c>
      <c r="D11" s="4">
        <f t="shared" si="2"/>
        <v>0</v>
      </c>
      <c r="E11" s="5">
        <f t="shared" si="1"/>
        <v>0</v>
      </c>
      <c r="F11" s="3">
        <v>0</v>
      </c>
      <c r="G11" s="13"/>
      <c r="H11" s="3" t="s">
        <v>32</v>
      </c>
      <c r="I11" s="3" t="s">
        <v>8</v>
      </c>
      <c r="J11" s="3"/>
      <c r="K11" s="3" t="s">
        <v>33</v>
      </c>
    </row>
    <row r="12" spans="1:11" x14ac:dyDescent="0.2">
      <c r="A12" s="32" t="s">
        <v>74</v>
      </c>
      <c r="B12" s="3">
        <v>140717</v>
      </c>
      <c r="C12" s="26">
        <f>F12</f>
        <v>390</v>
      </c>
      <c r="D12" s="4">
        <f t="shared" si="2"/>
        <v>0.19776876267748478</v>
      </c>
      <c r="E12" s="5">
        <f t="shared" si="1"/>
        <v>140327</v>
      </c>
      <c r="F12" s="3">
        <v>390</v>
      </c>
      <c r="G12" s="13"/>
      <c r="H12" s="3" t="s">
        <v>92</v>
      </c>
      <c r="I12" s="3" t="s">
        <v>8</v>
      </c>
      <c r="J12" s="3" t="s">
        <v>75</v>
      </c>
      <c r="K12" s="3" t="s">
        <v>76</v>
      </c>
    </row>
    <row r="13" spans="1:11" ht="16" thickBot="1" x14ac:dyDescent="0.25">
      <c r="A13" s="33" t="s">
        <v>86</v>
      </c>
      <c r="B13" s="16">
        <v>0</v>
      </c>
      <c r="C13" s="17">
        <f>F13</f>
        <v>0</v>
      </c>
      <c r="D13" s="17">
        <f t="shared" si="2"/>
        <v>0</v>
      </c>
      <c r="E13" s="18">
        <f t="shared" si="1"/>
        <v>0</v>
      </c>
      <c r="F13" s="16">
        <v>0</v>
      </c>
      <c r="G13" s="20"/>
      <c r="H13" s="3"/>
      <c r="I13" s="3" t="s">
        <v>9</v>
      </c>
      <c r="J13" s="3"/>
      <c r="K13" s="3"/>
    </row>
    <row r="14" spans="1:11" s="11" customFormat="1" ht="20" thickBot="1" x14ac:dyDescent="0.25">
      <c r="A14" s="36"/>
      <c r="B14" s="37">
        <f>SUM(B15:B25)</f>
        <v>195209</v>
      </c>
      <c r="C14" s="37">
        <f t="shared" ref="C14" si="3">SUM(C15:C25)</f>
        <v>31859</v>
      </c>
      <c r="D14" s="39">
        <f t="shared" ref="D14" si="4">SUM(D15:D25)</f>
        <v>16.155679513184584</v>
      </c>
      <c r="E14" s="37">
        <f t="shared" ref="E14" si="5">SUM(E15:E25)</f>
        <v>163350</v>
      </c>
      <c r="F14" s="37">
        <f t="shared" ref="F14" si="6">SUM(F15:F25)</f>
        <v>9720</v>
      </c>
      <c r="G14" s="38">
        <f t="shared" ref="G14" si="7">SUM(G15:G25)</f>
        <v>0</v>
      </c>
      <c r="H14" s="15"/>
      <c r="I14" s="15"/>
      <c r="J14" s="15"/>
      <c r="K14" s="15"/>
    </row>
    <row r="15" spans="1:11" x14ac:dyDescent="0.2">
      <c r="A15" s="32" t="s">
        <v>85</v>
      </c>
      <c r="B15" s="3">
        <v>48128</v>
      </c>
      <c r="C15" s="4">
        <f>F15</f>
        <v>611</v>
      </c>
      <c r="D15" s="19">
        <f t="shared" ref="D15:D25" si="8">C15/1972</f>
        <v>0.30983772819472616</v>
      </c>
      <c r="E15" s="5">
        <f t="shared" ref="E15:E24" si="9">B15-C15</f>
        <v>47517</v>
      </c>
      <c r="F15" s="3">
        <v>611</v>
      </c>
      <c r="G15" s="13"/>
      <c r="H15" s="3"/>
      <c r="I15" s="3" t="s">
        <v>8</v>
      </c>
      <c r="J15" s="3"/>
      <c r="K15" s="3"/>
    </row>
    <row r="16" spans="1:11" x14ac:dyDescent="0.2">
      <c r="A16" s="32" t="s">
        <v>37</v>
      </c>
      <c r="B16" s="3">
        <v>2964</v>
      </c>
      <c r="C16" s="3">
        <v>2964</v>
      </c>
      <c r="D16" s="19">
        <f t="shared" si="8"/>
        <v>1.5030425963488845</v>
      </c>
      <c r="E16" s="5">
        <f t="shared" si="9"/>
        <v>0</v>
      </c>
      <c r="F16" s="3">
        <v>0</v>
      </c>
      <c r="G16" s="13"/>
      <c r="H16" s="3" t="s">
        <v>38</v>
      </c>
      <c r="I16" s="3" t="s">
        <v>9</v>
      </c>
      <c r="J16" s="3" t="s">
        <v>10</v>
      </c>
      <c r="K16" s="3" t="s">
        <v>39</v>
      </c>
    </row>
    <row r="17" spans="1:11" x14ac:dyDescent="0.2">
      <c r="A17" s="32" t="s">
        <v>22</v>
      </c>
      <c r="B17" s="3">
        <v>8782</v>
      </c>
      <c r="C17" s="3">
        <v>8782</v>
      </c>
      <c r="D17" s="19">
        <f t="shared" si="8"/>
        <v>4.4533468559837726</v>
      </c>
      <c r="E17" s="5">
        <f t="shared" si="9"/>
        <v>0</v>
      </c>
      <c r="F17" s="3">
        <v>0</v>
      </c>
      <c r="G17" s="13"/>
      <c r="H17" s="3" t="s">
        <v>23</v>
      </c>
      <c r="I17" s="3" t="s">
        <v>8</v>
      </c>
      <c r="J17" s="3" t="s">
        <v>10</v>
      </c>
      <c r="K17" s="3" t="s">
        <v>24</v>
      </c>
    </row>
    <row r="18" spans="1:11" x14ac:dyDescent="0.2">
      <c r="A18" s="32" t="s">
        <v>25</v>
      </c>
      <c r="B18" s="3">
        <v>1359</v>
      </c>
      <c r="C18" s="3">
        <v>1359</v>
      </c>
      <c r="D18" s="19">
        <f t="shared" si="8"/>
        <v>0.6891480730223124</v>
      </c>
      <c r="E18" s="5">
        <f t="shared" si="9"/>
        <v>0</v>
      </c>
      <c r="F18" s="3">
        <v>0</v>
      </c>
      <c r="G18" s="13"/>
      <c r="H18" s="3" t="s">
        <v>26</v>
      </c>
      <c r="I18" s="3" t="s">
        <v>8</v>
      </c>
      <c r="J18" s="3" t="s">
        <v>10</v>
      </c>
      <c r="K18" s="3" t="s">
        <v>27</v>
      </c>
    </row>
    <row r="19" spans="1:11" x14ac:dyDescent="0.2">
      <c r="A19" s="32" t="s">
        <v>67</v>
      </c>
      <c r="B19" s="3">
        <v>3255</v>
      </c>
      <c r="C19" s="3">
        <v>3255</v>
      </c>
      <c r="D19" s="19">
        <f t="shared" si="8"/>
        <v>1.6506085192697768</v>
      </c>
      <c r="E19" s="5">
        <f t="shared" si="9"/>
        <v>0</v>
      </c>
      <c r="F19" s="3">
        <v>0</v>
      </c>
      <c r="G19" s="13"/>
      <c r="H19" s="3" t="s">
        <v>68</v>
      </c>
      <c r="I19" s="3" t="s">
        <v>9</v>
      </c>
      <c r="J19" s="3" t="s">
        <v>69</v>
      </c>
      <c r="K19" s="3" t="s">
        <v>70</v>
      </c>
    </row>
    <row r="20" spans="1:11" x14ac:dyDescent="0.2">
      <c r="A20" s="32" t="s">
        <v>57</v>
      </c>
      <c r="B20" s="3">
        <v>43081</v>
      </c>
      <c r="C20" s="4">
        <v>1456</v>
      </c>
      <c r="D20" s="19">
        <f t="shared" si="8"/>
        <v>0.73833671399594325</v>
      </c>
      <c r="E20" s="5">
        <f t="shared" si="9"/>
        <v>41625</v>
      </c>
      <c r="F20" s="3">
        <v>0</v>
      </c>
      <c r="G20" s="13"/>
      <c r="H20" s="3" t="s">
        <v>58</v>
      </c>
      <c r="I20" s="3" t="s">
        <v>8</v>
      </c>
      <c r="J20" s="3" t="s">
        <v>59</v>
      </c>
      <c r="K20" s="3" t="s">
        <v>60</v>
      </c>
    </row>
    <row r="21" spans="1:11" x14ac:dyDescent="0.2">
      <c r="A21" s="32" t="s">
        <v>40</v>
      </c>
      <c r="B21" s="3">
        <v>17525</v>
      </c>
      <c r="C21" s="4">
        <f>F21</f>
        <v>4045</v>
      </c>
      <c r="D21" s="19">
        <f t="shared" si="8"/>
        <v>2.0512170385395536</v>
      </c>
      <c r="E21" s="5">
        <f t="shared" si="9"/>
        <v>13480</v>
      </c>
      <c r="F21" s="3">
        <v>4045</v>
      </c>
      <c r="G21" s="13"/>
      <c r="H21" s="3" t="s">
        <v>91</v>
      </c>
      <c r="I21" s="3" t="s">
        <v>8</v>
      </c>
      <c r="J21" s="3" t="s">
        <v>41</v>
      </c>
      <c r="K21" s="3" t="s">
        <v>42</v>
      </c>
    </row>
    <row r="22" spans="1:11" x14ac:dyDescent="0.2">
      <c r="A22" s="34" t="s">
        <v>34</v>
      </c>
      <c r="B22" s="6">
        <v>64056</v>
      </c>
      <c r="C22" s="26">
        <f>F22</f>
        <v>3768</v>
      </c>
      <c r="D22" s="27">
        <f t="shared" si="8"/>
        <v>1.9107505070993915</v>
      </c>
      <c r="E22" s="28">
        <f t="shared" si="9"/>
        <v>60288</v>
      </c>
      <c r="F22" s="6">
        <v>3768</v>
      </c>
      <c r="G22" s="29"/>
      <c r="H22" s="3" t="s">
        <v>35</v>
      </c>
      <c r="I22" s="3" t="s">
        <v>8</v>
      </c>
      <c r="J22" s="3"/>
      <c r="K22" s="3" t="s">
        <v>36</v>
      </c>
    </row>
    <row r="23" spans="1:11" x14ac:dyDescent="0.2">
      <c r="A23" s="32" t="s">
        <v>14</v>
      </c>
      <c r="B23" s="3">
        <v>1296</v>
      </c>
      <c r="C23" s="4">
        <f>F23</f>
        <v>1296</v>
      </c>
      <c r="D23" s="19">
        <f t="shared" si="8"/>
        <v>0.65720081135902642</v>
      </c>
      <c r="E23" s="5">
        <f t="shared" si="9"/>
        <v>0</v>
      </c>
      <c r="F23" s="3">
        <v>1296</v>
      </c>
      <c r="G23" s="13"/>
      <c r="H23" s="3" t="s">
        <v>15</v>
      </c>
      <c r="I23" s="3" t="s">
        <v>9</v>
      </c>
      <c r="J23" s="3" t="s">
        <v>16</v>
      </c>
      <c r="K23" s="3" t="s">
        <v>17</v>
      </c>
    </row>
    <row r="24" spans="1:11" x14ac:dyDescent="0.2">
      <c r="A24" s="32" t="s">
        <v>64</v>
      </c>
      <c r="B24" s="3">
        <v>2989</v>
      </c>
      <c r="C24" s="3">
        <v>2989</v>
      </c>
      <c r="D24" s="19">
        <f t="shared" si="8"/>
        <v>1.5157200811359026</v>
      </c>
      <c r="E24" s="10">
        <f t="shared" si="9"/>
        <v>0</v>
      </c>
      <c r="F24" s="3"/>
      <c r="G24" s="13"/>
      <c r="H24" s="3" t="s">
        <v>87</v>
      </c>
      <c r="I24" s="3" t="s">
        <v>9</v>
      </c>
      <c r="J24" s="3" t="s">
        <v>65</v>
      </c>
      <c r="K24" s="3" t="s">
        <v>66</v>
      </c>
    </row>
    <row r="25" spans="1:11" ht="16" thickBot="1" x14ac:dyDescent="0.25">
      <c r="A25" s="35" t="s">
        <v>28</v>
      </c>
      <c r="B25" s="7">
        <v>1774</v>
      </c>
      <c r="C25" s="8">
        <v>1334</v>
      </c>
      <c r="D25" s="25">
        <f t="shared" si="8"/>
        <v>0.67647058823529416</v>
      </c>
      <c r="E25" s="9">
        <v>440</v>
      </c>
      <c r="F25" s="7">
        <v>0</v>
      </c>
      <c r="G25" s="14"/>
      <c r="H25" s="3" t="s">
        <v>29</v>
      </c>
      <c r="I25" s="3" t="s">
        <v>8</v>
      </c>
      <c r="J25" s="3" t="s">
        <v>10</v>
      </c>
      <c r="K25" s="3" t="s">
        <v>30</v>
      </c>
    </row>
    <row r="26" spans="1:11" s="11" customFormat="1" ht="20" thickBot="1" x14ac:dyDescent="0.25">
      <c r="A26" s="36"/>
      <c r="B26" s="37">
        <f>SUM(B27:B37)</f>
        <v>101909</v>
      </c>
      <c r="C26" s="37">
        <f t="shared" ref="C26" si="10">SUM(C27:C37)</f>
        <v>9109</v>
      </c>
      <c r="D26" s="40">
        <f>SUM(D27:D37)</f>
        <v>4.6191683569979718</v>
      </c>
      <c r="E26" s="37">
        <f t="shared" ref="E26" si="11">SUM(E27:E37)</f>
        <v>92800</v>
      </c>
      <c r="F26" s="37">
        <f t="shared" ref="F26" si="12">SUM(F27:F37)</f>
        <v>9109</v>
      </c>
      <c r="G26" s="38">
        <f t="shared" ref="G26" si="13">SUM(G27:G37)</f>
        <v>0</v>
      </c>
      <c r="H26" s="15"/>
      <c r="I26" s="15"/>
      <c r="J26" s="15"/>
      <c r="K26" s="15"/>
    </row>
    <row r="27" spans="1:11" x14ac:dyDescent="0.2">
      <c r="A27" s="32" t="s">
        <v>81</v>
      </c>
      <c r="B27" s="3">
        <v>94000</v>
      </c>
      <c r="C27" s="4">
        <f>F27</f>
        <v>1200</v>
      </c>
      <c r="D27" s="4">
        <f t="shared" si="2"/>
        <v>0.60851926977687631</v>
      </c>
      <c r="E27" s="5">
        <f>B27-C27</f>
        <v>92800</v>
      </c>
      <c r="F27" s="3">
        <v>1200</v>
      </c>
      <c r="G27" s="13"/>
      <c r="H27" s="3" t="s">
        <v>82</v>
      </c>
      <c r="I27" s="3" t="s">
        <v>9</v>
      </c>
      <c r="J27" s="3" t="s">
        <v>83</v>
      </c>
      <c r="K27" s="3" t="s">
        <v>84</v>
      </c>
    </row>
    <row r="28" spans="1:11" x14ac:dyDescent="0.2">
      <c r="A28" s="32" t="s">
        <v>53</v>
      </c>
      <c r="B28" s="3">
        <v>6085</v>
      </c>
      <c r="C28" s="4">
        <f>F28</f>
        <v>6085</v>
      </c>
      <c r="D28" s="4">
        <f t="shared" si="2"/>
        <v>3.0856997971602436</v>
      </c>
      <c r="E28" s="5">
        <f>B28-C28</f>
        <v>0</v>
      </c>
      <c r="F28" s="3">
        <v>6085</v>
      </c>
      <c r="G28" s="13"/>
      <c r="H28" s="3" t="s">
        <v>54</v>
      </c>
      <c r="I28" s="3" t="s">
        <v>9</v>
      </c>
      <c r="J28" s="3" t="s">
        <v>55</v>
      </c>
      <c r="K28" s="3" t="s">
        <v>56</v>
      </c>
    </row>
    <row r="29" spans="1:11" ht="16" thickBot="1" x14ac:dyDescent="0.25">
      <c r="A29" s="35" t="s">
        <v>11</v>
      </c>
      <c r="B29" s="7">
        <v>1824</v>
      </c>
      <c r="C29" s="8">
        <f>F29</f>
        <v>1824</v>
      </c>
      <c r="D29" s="8">
        <f t="shared" si="2"/>
        <v>0.92494929006085191</v>
      </c>
      <c r="E29" s="9">
        <f>B29-C29</f>
        <v>0</v>
      </c>
      <c r="F29" s="7">
        <v>1824</v>
      </c>
      <c r="G29" s="14"/>
      <c r="H29" s="3" t="s">
        <v>90</v>
      </c>
      <c r="I29" s="3" t="s">
        <v>9</v>
      </c>
      <c r="J29" s="3" t="s">
        <v>12</v>
      </c>
      <c r="K29" s="3" t="s">
        <v>13</v>
      </c>
    </row>
  </sheetData>
  <autoFilter ref="A1:K29" xr:uid="{A23E4CA1-1419-4C73-BB72-CDA010B5EB23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Торойкин Павел Олегович</dc:creator>
  <cp:lastModifiedBy>VALERIY ZAICHKO</cp:lastModifiedBy>
  <dcterms:created xsi:type="dcterms:W3CDTF">2026-03-11T07:11:14Z</dcterms:created>
  <dcterms:modified xsi:type="dcterms:W3CDTF">2026-03-12T20:22:17Z</dcterms:modified>
</cp:coreProperties>
</file>